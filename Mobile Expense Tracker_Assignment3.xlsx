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esktop\"/>
    </mc:Choice>
  </mc:AlternateContent>
  <xr:revisionPtr revIDLastSave="0" documentId="13_ncr:1_{916129C6-E917-4451-AE27-431D20595D01}" xr6:coauthVersionLast="47" xr6:coauthVersionMax="47" xr10:uidLastSave="{00000000-0000-0000-0000-000000000000}"/>
  <bookViews>
    <workbookView xWindow="8148" yWindow="0" windowWidth="14988" windowHeight="12336" xr2:uid="{0DF43AF2-7048-41E1-A529-537C1F639D01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1" l="1"/>
  <c r="H8" i="1"/>
  <c r="I8" i="1" s="1"/>
  <c r="H9" i="1"/>
  <c r="H10" i="1"/>
  <c r="I10" i="1" s="1"/>
  <c r="H11" i="1"/>
  <c r="I11" i="1" s="1"/>
  <c r="H12" i="1"/>
  <c r="I12" i="1" s="1"/>
  <c r="H7" i="1"/>
  <c r="I7" i="1" s="1"/>
  <c r="D3" i="2" s="1"/>
  <c r="I5" i="1"/>
  <c r="I4" i="1"/>
  <c r="I3" i="1"/>
</calcChain>
</file>

<file path=xl/sharedStrings.xml><?xml version="1.0" encoding="utf-8"?>
<sst xmlns="http://schemas.openxmlformats.org/spreadsheetml/2006/main" count="53" uniqueCount="19">
  <si>
    <t>My Daily Expense Tracker</t>
  </si>
  <si>
    <t>Date</t>
  </si>
  <si>
    <t>Category</t>
  </si>
  <si>
    <t>Description</t>
  </si>
  <si>
    <t>Amount</t>
  </si>
  <si>
    <t>Payment Method</t>
  </si>
  <si>
    <t>Notes</t>
  </si>
  <si>
    <t>Food</t>
  </si>
  <si>
    <t>Travel</t>
  </si>
  <si>
    <t>Medical</t>
  </si>
  <si>
    <t>Lunch</t>
  </si>
  <si>
    <t>Cash</t>
  </si>
  <si>
    <t>Subway</t>
  </si>
  <si>
    <t>Bus Ticket</t>
  </si>
  <si>
    <t>UPI</t>
  </si>
  <si>
    <t>Tablets</t>
  </si>
  <si>
    <t>Tablet</t>
  </si>
  <si>
    <t>Total</t>
  </si>
  <si>
    <t>Total Spent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</si>
</sst>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1" xfId="0" applyFont="1" applyBorder="1"/>
    <xf numFmtId="164" fontId="3" fillId="0" borderId="1" xfId="0" applyNumberFormat="1" applyFont="1" applyBorder="1"/>
    <xf numFmtId="0" fontId="3" fillId="0" borderId="0" xfId="0" applyFont="1"/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6" xfId="0" applyFont="1" applyBorder="1"/>
    <xf numFmtId="164" fontId="3" fillId="0" borderId="6" xfId="0" applyNumberFormat="1" applyFont="1" applyBorder="1"/>
    <xf numFmtId="14" fontId="3" fillId="0" borderId="2" xfId="0" applyNumberFormat="1" applyFont="1" applyBorder="1"/>
    <xf numFmtId="14" fontId="3" fillId="0" borderId="5" xfId="0" applyNumberFormat="1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4" formatCode="&quot;₹&quot;\ #,##0.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9" formatCode="dd/mm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ABEEBF-3B95-4D4F-BA2C-C92D1F54B5B2}" name="Table2" displayName="Table2" ref="A2:F12" totalsRowShown="0" headerRowBorderDxfId="8" tableBorderDxfId="7" totalsRowBorderDxfId="6">
  <autoFilter ref="A2:F12" xr:uid="{8BABEEBF-3B95-4D4F-BA2C-C92D1F54B5B2}">
    <filterColumn colId="0">
      <filters>
        <dateGroupItem year="2025" month="9" dateTimeGrouping="month"/>
      </filters>
    </filterColumn>
  </autoFilter>
  <tableColumns count="6">
    <tableColumn id="1" xr3:uid="{D5B3D572-F1A7-4DF7-9535-06824BABD58D}" name="Date" dataDxfId="5"/>
    <tableColumn id="2" xr3:uid="{6E400ADA-2D92-4B7D-BCF2-78CACED23E9E}" name="Category" dataDxfId="4"/>
    <tableColumn id="3" xr3:uid="{26FA9B98-EBFF-44B8-A9F0-8A434C37B2D5}" name="Description" dataDxfId="3"/>
    <tableColumn id="4" xr3:uid="{BA4C0EA1-FAE3-4AE0-A2E8-AC4915F3BD49}" name="Amount" dataDxfId="2"/>
    <tableColumn id="5" xr3:uid="{E0AE02D2-6808-46BE-8122-DBD61892697E}" name="Payment Method" dataDxfId="1"/>
    <tableColumn id="6" xr3:uid="{C0651288-C183-47D5-9952-3AB1C7DCE0D8}" name="Not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605C2-4663-4A64-8F69-CCA584B4CDBD}">
  <dimension ref="A1:I13"/>
  <sheetViews>
    <sheetView tabSelected="1" topLeftCell="E1" zoomScale="155" workbookViewId="0">
      <selection activeCell="G8" sqref="G8"/>
    </sheetView>
  </sheetViews>
  <sheetFormatPr defaultRowHeight="14.4" x14ac:dyDescent="0.3"/>
  <cols>
    <col min="1" max="4" width="14.44140625" customWidth="1"/>
    <col min="5" max="5" width="18.109375" customWidth="1"/>
    <col min="6" max="6" width="14.44140625" customWidth="1"/>
    <col min="9" max="9" width="12" bestFit="1" customWidth="1"/>
  </cols>
  <sheetData>
    <row r="1" spans="1:9" ht="25.8" x14ac:dyDescent="0.3">
      <c r="A1" s="16" t="s">
        <v>0</v>
      </c>
      <c r="B1" s="16"/>
      <c r="C1" s="16"/>
      <c r="D1" s="16"/>
      <c r="E1" s="16"/>
      <c r="F1" s="16"/>
    </row>
    <row r="2" spans="1:9" x14ac:dyDescent="0.3">
      <c r="A2" s="7" t="s">
        <v>1</v>
      </c>
      <c r="B2" s="8" t="s">
        <v>2</v>
      </c>
      <c r="C2" s="8" t="s">
        <v>3</v>
      </c>
      <c r="D2" s="8" t="s">
        <v>4</v>
      </c>
      <c r="E2" s="9" t="s">
        <v>5</v>
      </c>
      <c r="F2" s="8" t="s">
        <v>6</v>
      </c>
      <c r="H2" s="5" t="s">
        <v>2</v>
      </c>
      <c r="I2" s="6" t="s">
        <v>18</v>
      </c>
    </row>
    <row r="3" spans="1:9" hidden="1" x14ac:dyDescent="0.3">
      <c r="A3" s="12">
        <v>45897</v>
      </c>
      <c r="B3" s="1" t="s">
        <v>7</v>
      </c>
      <c r="C3" s="1" t="s">
        <v>10</v>
      </c>
      <c r="D3" s="2">
        <v>150</v>
      </c>
      <c r="E3" s="1" t="s">
        <v>11</v>
      </c>
      <c r="F3" s="1" t="s">
        <v>12</v>
      </c>
      <c r="H3" s="4" t="s">
        <v>7</v>
      </c>
      <c r="I3" s="4">
        <f>SUMIF(B3:B12,H3,D3:D12)</f>
        <v>1503</v>
      </c>
    </row>
    <row r="4" spans="1:9" hidden="1" x14ac:dyDescent="0.3">
      <c r="A4" s="12">
        <v>45898</v>
      </c>
      <c r="B4" s="1" t="s">
        <v>8</v>
      </c>
      <c r="C4" s="1" t="s">
        <v>13</v>
      </c>
      <c r="D4" s="2">
        <v>570</v>
      </c>
      <c r="E4" s="1" t="s">
        <v>14</v>
      </c>
      <c r="F4" s="1" t="s">
        <v>12</v>
      </c>
      <c r="H4" s="4" t="s">
        <v>8</v>
      </c>
      <c r="I4" s="4">
        <f>SUMIF(B3:B12,H4,D3:D12)</f>
        <v>1858</v>
      </c>
    </row>
    <row r="5" spans="1:9" hidden="1" x14ac:dyDescent="0.3">
      <c r="A5" s="12">
        <v>45899</v>
      </c>
      <c r="B5" s="1" t="s">
        <v>9</v>
      </c>
      <c r="C5" s="1" t="s">
        <v>15</v>
      </c>
      <c r="D5" s="2">
        <v>500</v>
      </c>
      <c r="E5" s="1" t="s">
        <v>11</v>
      </c>
      <c r="F5" s="1" t="s">
        <v>16</v>
      </c>
      <c r="H5" s="4" t="s">
        <v>9</v>
      </c>
      <c r="I5" s="4">
        <f>SUMIF(B3:B12,H5,D3:D12)</f>
        <v>1170</v>
      </c>
    </row>
    <row r="6" spans="1:9" hidden="1" x14ac:dyDescent="0.3">
      <c r="A6" s="12">
        <v>45900</v>
      </c>
      <c r="B6" s="1" t="s">
        <v>7</v>
      </c>
      <c r="C6" s="1" t="s">
        <v>10</v>
      </c>
      <c r="D6" s="2">
        <v>154</v>
      </c>
      <c r="E6" s="1" t="s">
        <v>11</v>
      </c>
      <c r="F6" s="1" t="s">
        <v>12</v>
      </c>
    </row>
    <row r="7" spans="1:9" x14ac:dyDescent="0.3">
      <c r="A7" s="12">
        <v>45901</v>
      </c>
      <c r="B7" s="1" t="s">
        <v>8</v>
      </c>
      <c r="C7" s="1" t="s">
        <v>13</v>
      </c>
      <c r="D7" s="2">
        <v>777</v>
      </c>
      <c r="E7" s="1" t="s">
        <v>14</v>
      </c>
      <c r="F7" s="1" t="s">
        <v>12</v>
      </c>
      <c r="H7" t="str">
        <f>Table2[[#This Row],[Category]]</f>
        <v>Travel</v>
      </c>
      <c r="I7">
        <f>SUMIF(B7:B12,H7,D7:D12)</f>
        <v>1288</v>
      </c>
    </row>
    <row r="8" spans="1:9" x14ac:dyDescent="0.3">
      <c r="A8" s="12">
        <v>45902</v>
      </c>
      <c r="B8" s="1" t="s">
        <v>9</v>
      </c>
      <c r="C8" s="1" t="s">
        <v>15</v>
      </c>
      <c r="D8" s="2">
        <v>570</v>
      </c>
      <c r="E8" s="1" t="s">
        <v>11</v>
      </c>
      <c r="F8" s="1" t="s">
        <v>16</v>
      </c>
      <c r="H8" t="str">
        <f>Table2[[#This Row],[Category]]</f>
        <v>Medical</v>
      </c>
      <c r="I8">
        <f>SUMIF(B8:B13,H8,D8:D13)</f>
        <v>670</v>
      </c>
    </row>
    <row r="9" spans="1:9" x14ac:dyDescent="0.3">
      <c r="A9" s="12">
        <v>45903</v>
      </c>
      <c r="B9" s="1" t="s">
        <v>7</v>
      </c>
      <c r="C9" s="1" t="s">
        <v>10</v>
      </c>
      <c r="D9" s="2">
        <v>644</v>
      </c>
      <c r="E9" s="1" t="s">
        <v>11</v>
      </c>
      <c r="F9" s="1" t="s">
        <v>12</v>
      </c>
      <c r="H9" t="str">
        <f>Table2[[#This Row],[Category]]</f>
        <v>Food</v>
      </c>
      <c r="I9">
        <f>SUMIF(B9:B14,H9,D9:D14)</f>
        <v>1199</v>
      </c>
    </row>
    <row r="10" spans="1:9" x14ac:dyDescent="0.3">
      <c r="A10" s="12">
        <v>45904</v>
      </c>
      <c r="B10" s="1" t="s">
        <v>8</v>
      </c>
      <c r="C10" s="1" t="s">
        <v>13</v>
      </c>
      <c r="D10" s="2">
        <v>511</v>
      </c>
      <c r="E10" s="1" t="s">
        <v>14</v>
      </c>
      <c r="F10" s="1" t="s">
        <v>12</v>
      </c>
      <c r="H10" t="str">
        <f>Table2[[#This Row],[Category]]</f>
        <v>Travel</v>
      </c>
      <c r="I10">
        <f>SUMIF(B10:B15,H10,D10:D15)</f>
        <v>511</v>
      </c>
    </row>
    <row r="11" spans="1:9" x14ac:dyDescent="0.3">
      <c r="A11" s="12">
        <v>45905</v>
      </c>
      <c r="B11" s="1" t="s">
        <v>9</v>
      </c>
      <c r="C11" s="1" t="s">
        <v>15</v>
      </c>
      <c r="D11" s="2">
        <v>100</v>
      </c>
      <c r="E11" s="1" t="s">
        <v>11</v>
      </c>
      <c r="F11" s="1" t="s">
        <v>16</v>
      </c>
      <c r="H11" t="str">
        <f>Table2[[#This Row],[Category]]</f>
        <v>Medical</v>
      </c>
      <c r="I11">
        <f>SUMIF(B11:B16,H11,D11:D16)</f>
        <v>100</v>
      </c>
    </row>
    <row r="12" spans="1:9" x14ac:dyDescent="0.3">
      <c r="A12" s="13">
        <v>45906</v>
      </c>
      <c r="B12" s="10" t="s">
        <v>7</v>
      </c>
      <c r="C12" s="10" t="s">
        <v>10</v>
      </c>
      <c r="D12" s="11">
        <v>555</v>
      </c>
      <c r="E12" s="10" t="s">
        <v>11</v>
      </c>
      <c r="F12" s="10" t="s">
        <v>12</v>
      </c>
      <c r="H12" t="str">
        <f>Table2[[#This Row],[Category]]</f>
        <v>Food</v>
      </c>
      <c r="I12">
        <f>SUMIF(B12:B17,H12,D12:D17)</f>
        <v>555</v>
      </c>
    </row>
    <row r="13" spans="1:9" x14ac:dyDescent="0.3">
      <c r="A13" s="3"/>
      <c r="B13" s="3"/>
      <c r="C13" s="3"/>
      <c r="D13" s="3"/>
      <c r="E13" s="3"/>
    </row>
  </sheetData>
  <mergeCells count="1">
    <mergeCell ref="A1:F1"/>
  </mergeCells>
  <dataValidations count="2">
    <dataValidation type="list" allowBlank="1" showInputMessage="1" showErrorMessage="1" sqref="B3:B12" xr:uid="{B3C3F69A-75C4-41D2-8680-4608D886BFBF}">
      <formula1>$B$3:$B$12</formula1>
    </dataValidation>
    <dataValidation type="list" allowBlank="1" showInputMessage="1" showErrorMessage="1" sqref="E3:E12" xr:uid="{91D74E92-A0FF-49FD-A8EF-85EFC10BA4DC}">
      <formula1>$E$3:$E$12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52C07-17E2-4B6F-B7BE-9DFC368795ED}">
  <dimension ref="C3:D3"/>
  <sheetViews>
    <sheetView workbookViewId="0">
      <selection activeCell="D4" sqref="D4"/>
    </sheetView>
  </sheetViews>
  <sheetFormatPr defaultRowHeight="14.4" x14ac:dyDescent="0.3"/>
  <cols>
    <col min="4" max="4" width="36.5546875" customWidth="1"/>
  </cols>
  <sheetData>
    <row r="3" spans="3:4" ht="22.8" x14ac:dyDescent="0.4">
      <c r="C3" s="14" t="s">
        <v>17</v>
      </c>
      <c r="D3" s="15">
        <f>SUM(Sheet1!I7:I12)</f>
        <v>4323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rkp_</dc:creator>
  <cp:lastModifiedBy>Mr. rkp_</cp:lastModifiedBy>
  <dcterms:created xsi:type="dcterms:W3CDTF">2026-01-29T14:24:14Z</dcterms:created>
  <dcterms:modified xsi:type="dcterms:W3CDTF">2026-05-04T12:20:01Z</dcterms:modified>
</cp:coreProperties>
</file>